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<sst xmlns="http://schemas.openxmlformats.org/spreadsheetml/2006/main" count="31" uniqueCount="29">
  <si>
    <t>DATOS</t>
  </si>
  <si>
    <t>Esfuerzo extensión [kg]</t>
  </si>
  <si>
    <t>Esfuerzo retracción [kg]</t>
  </si>
  <si>
    <t>Presión máxima [kg/cm^2]</t>
  </si>
  <si>
    <t>Velocidad del motor [rpm]</t>
  </si>
  <si>
    <t>&gt;&gt;</t>
  </si>
  <si>
    <t>Se debe tener en cuenta que esta es la velocidad teórica. En realidad girará a 1480 rpm, 1410 rpm si es de mala calidad (resbalamiento y otras cuestiones)</t>
  </si>
  <si>
    <t>Carrera [cm]</t>
  </si>
  <si>
    <t>Tiempo de desp. max. [s]</t>
  </si>
  <si>
    <t>CILINDROS</t>
  </si>
  <si>
    <t>A</t>
  </si>
  <si>
    <t>B</t>
  </si>
  <si>
    <t>C</t>
  </si>
  <si>
    <t>D_pistón [cm]</t>
  </si>
  <si>
    <t>D_vástago [cm]</t>
  </si>
  <si>
    <t>A_pistón [cm^2]</t>
  </si>
  <si>
    <t>A_vástago [cm^2]</t>
  </si>
  <si>
    <t>Presión extensión [kg/cm^2]</t>
  </si>
  <si>
    <t>Tanto el cilindro B como el C pueden ejercer la fuerza requerida sin superar la presión máxima admitida. Se elige el cilindro B para no sobredimensionar.</t>
  </si>
  <si>
    <t>Presión retracción [kg/cm^2]</t>
  </si>
  <si>
    <t>BOMBA</t>
  </si>
  <si>
    <t>Volumen [cm^3]</t>
  </si>
  <si>
    <t>V = A_pistón * Carrera</t>
  </si>
  <si>
    <t>Caudal requerido [cm^3/s]</t>
  </si>
  <si>
    <t>Q = V/t</t>
  </si>
  <si>
    <t>Cilindrada [cm^3/rev]</t>
  </si>
  <si>
    <t>Vg = Q/n, n en rev/s</t>
  </si>
  <si>
    <t>La bomba con menor cilindrado del catálogo empieza en 1 cm^3/s</t>
  </si>
  <si>
    <t>n [rev/s]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</si>
</sst>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Font="1" applyNumberFormat="1"/>
    <xf borderId="0" fillId="3" fontId="2" numFmtId="164" xfId="0" applyFill="1" applyFont="1" applyNumberFormat="1"/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>
        <v>480.0</v>
      </c>
      <c r="D2" s="4"/>
      <c r="E2" s="4"/>
      <c r="F2" s="5"/>
    </row>
    <row r="3">
      <c r="A3" s="4" t="s">
        <v>2</v>
      </c>
      <c r="B3" s="4">
        <v>270.0</v>
      </c>
      <c r="D3" s="4"/>
      <c r="E3" s="4"/>
    </row>
    <row r="4">
      <c r="A4" s="4" t="s">
        <v>3</v>
      </c>
      <c r="B4" s="4">
        <v>70.0</v>
      </c>
      <c r="D4" s="4"/>
      <c r="E4" s="4"/>
    </row>
    <row r="5">
      <c r="A5" s="4" t="s">
        <v>4</v>
      </c>
      <c r="B5" s="4">
        <v>1500.0</v>
      </c>
      <c r="C5" s="6" t="s">
        <v>5</v>
      </c>
      <c r="D5" s="4" t="s">
        <v>6</v>
      </c>
      <c r="E5" s="4"/>
    </row>
    <row r="6">
      <c r="A6" s="4" t="s">
        <v>7</v>
      </c>
      <c r="B6" s="4">
        <v>30.0</v>
      </c>
      <c r="E6" s="4"/>
    </row>
    <row r="7">
      <c r="A7" s="4" t="s">
        <v>8</v>
      </c>
      <c r="B7" s="4">
        <v>60.0</v>
      </c>
      <c r="D7" s="4"/>
      <c r="E7" s="4"/>
    </row>
    <row r="8">
      <c r="A8" s="4"/>
      <c r="B8" s="4"/>
      <c r="C8" s="4"/>
      <c r="D8" s="4"/>
      <c r="E8" s="4"/>
    </row>
    <row r="9">
      <c r="A9" s="1" t="s">
        <v>9</v>
      </c>
      <c r="B9" s="2" t="s">
        <v>10</v>
      </c>
      <c r="C9" s="2" t="s">
        <v>11</v>
      </c>
      <c r="D9" s="2" t="s">
        <v>12</v>
      </c>
    </row>
    <row r="10">
      <c r="A10" s="4" t="s">
        <v>13</v>
      </c>
      <c r="B10" s="4">
        <v>2.5</v>
      </c>
      <c r="C10" s="4">
        <v>3.2</v>
      </c>
      <c r="D10" s="4">
        <v>4.0</v>
      </c>
    </row>
    <row r="11">
      <c r="A11" s="4" t="s">
        <v>14</v>
      </c>
      <c r="B11" s="4">
        <v>1.6</v>
      </c>
      <c r="C11" s="4">
        <v>1.8</v>
      </c>
      <c r="D11" s="4">
        <v>2.5</v>
      </c>
    </row>
    <row r="12">
      <c r="A12" s="4" t="s">
        <v>15</v>
      </c>
      <c r="B12" s="7">
        <f t="shared" ref="B12:D12" si="1">B10^2*PI()/4</f>
        <v>4.908738521</v>
      </c>
      <c r="C12" s="8">
        <f t="shared" si="1"/>
        <v>8.042477193</v>
      </c>
      <c r="D12" s="7">
        <f t="shared" si="1"/>
        <v>12.56637061</v>
      </c>
    </row>
    <row r="13">
      <c r="A13" s="4" t="s">
        <v>16</v>
      </c>
      <c r="B13" s="7">
        <f t="shared" ref="B13:D13" si="2">(B10^2-B11^2)/4*PI()</f>
        <v>2.898119223</v>
      </c>
      <c r="C13" s="8">
        <f t="shared" si="2"/>
        <v>5.497787144</v>
      </c>
      <c r="D13" s="7">
        <f t="shared" si="2"/>
        <v>7.657632093</v>
      </c>
    </row>
    <row r="14">
      <c r="A14" s="4" t="s">
        <v>17</v>
      </c>
      <c r="B14" s="7">
        <f>B2/B12</f>
        <v>97.78479704</v>
      </c>
      <c r="C14" s="7">
        <f t="shared" ref="C14:D14" si="3">$B$2/C12</f>
        <v>59.68310366</v>
      </c>
      <c r="D14" s="7">
        <f t="shared" si="3"/>
        <v>38.19718634</v>
      </c>
      <c r="E14" s="6" t="s">
        <v>5</v>
      </c>
      <c r="F14" s="4" t="s">
        <v>18</v>
      </c>
    </row>
    <row r="15">
      <c r="A15" s="4" t="s">
        <v>19</v>
      </c>
      <c r="B15" s="7">
        <f t="shared" ref="B15:D15" si="4">$B$3/B13</f>
        <v>93.16386913</v>
      </c>
      <c r="C15" s="7">
        <f t="shared" si="4"/>
        <v>49.11066815</v>
      </c>
      <c r="D15" s="7">
        <f t="shared" si="4"/>
        <v>35.25894124</v>
      </c>
    </row>
    <row r="18">
      <c r="A18" s="1" t="s">
        <v>20</v>
      </c>
      <c r="B18" s="9"/>
    </row>
    <row r="19">
      <c r="A19" s="4" t="s">
        <v>21</v>
      </c>
      <c r="B19" s="7">
        <f>C12*B6</f>
        <v>241.2743158</v>
      </c>
    </row>
    <row r="20">
      <c r="A20" s="4" t="s">
        <v>22</v>
      </c>
    </row>
    <row r="22">
      <c r="A22" s="4" t="s">
        <v>23</v>
      </c>
      <c r="B22" s="7">
        <f>B19/B7</f>
        <v>4.021238597</v>
      </c>
    </row>
    <row r="23">
      <c r="A23" s="4" t="s">
        <v>24</v>
      </c>
    </row>
    <row r="25">
      <c r="A25" s="4" t="s">
        <v>25</v>
      </c>
      <c r="B25" s="7">
        <f>B22/B27</f>
        <v>0.1608495439</v>
      </c>
    </row>
    <row r="26">
      <c r="A26" s="4" t="s">
        <v>26</v>
      </c>
      <c r="C26" s="6" t="s">
        <v>5</v>
      </c>
      <c r="D26" s="4" t="s">
        <v>27</v>
      </c>
    </row>
    <row r="27">
      <c r="A27" s="4" t="s">
        <v>28</v>
      </c>
      <c r="B27" s="10">
        <f>B5/60</f>
        <v>25</v>
      </c>
    </row>
  </sheetData>
  <mergeCells count="3">
    <mergeCell ref="B19:B20"/>
    <mergeCell ref="B22:B23"/>
    <mergeCell ref="B25:B26"/>
  </mergeCells>
  <conditionalFormatting sqref="B14:D15 E15">
    <cfRule type="cellIs" dxfId="0" priority="1" operator="greaterThan">
      <formula>70</formula>
    </cfRule>
  </conditionalFormatting>
  <conditionalFormatting sqref="B14:D15 E15">
    <cfRule type="cellIs" dxfId="1" priority="2" operator="lessThanOrEqual">
      <formula>70</formula>
    </cfRule>
  </conditionalFormatting>
  <drawing r:id="rId1"/>
</worksheet>
</file>